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ject\data\"/>
    </mc:Choice>
  </mc:AlternateContent>
  <xr:revisionPtr revIDLastSave="0" documentId="13_ncr:1_{5B72A8DB-E5DE-47F5-A6A4-C433E76BEA39}" xr6:coauthVersionLast="47" xr6:coauthVersionMax="47" xr10:uidLastSave="{00000000-0000-0000-0000-000000000000}"/>
  <bookViews>
    <workbookView xWindow="3240" yWindow="630" windowWidth="21165" windowHeight="14190" xr2:uid="{00000000-000D-0000-FFFF-FFFF00000000}"/>
  </bookViews>
  <sheets>
    <sheet name="가계부" sheetId="1" r:id="rId1"/>
  </sheets>
  <definedNames>
    <definedName name="_xlnm._FilterDatabase" localSheetId="0" hidden="1">가계부!$A$5:$C$6</definedName>
    <definedName name="경조사">#REF!</definedName>
    <definedName name="공과금">#REF!</definedName>
    <definedName name="교통비">#REF!</definedName>
    <definedName name="기타1">#REF!</definedName>
    <definedName name="기타2">#REF!</definedName>
    <definedName name="대출">#REF!</definedName>
    <definedName name="보험">#REF!</definedName>
    <definedName name="쇼핑">#REF!</definedName>
    <definedName name="수입">#REF!</definedName>
    <definedName name="수입구분">#REF!</definedName>
    <definedName name="식비">#REF!</definedName>
    <definedName name="의료비">#REF!</definedName>
    <definedName name="저축">#REF!</definedName>
    <definedName name="지출">#REF!</definedName>
    <definedName name="지출구분">#REF!</definedName>
    <definedName name="통신비">#REF!</definedName>
  </definedNames>
  <calcPr calcId="191029"/>
</workbook>
</file>

<file path=xl/calcChain.xml><?xml version="1.0" encoding="utf-8"?>
<calcChain xmlns="http://schemas.openxmlformats.org/spreadsheetml/2006/main">
  <c r="H3" i="1" l="1"/>
  <c r="G3" i="1"/>
  <c r="I3" i="1" l="1"/>
</calcChain>
</file>

<file path=xl/sharedStrings.xml><?xml version="1.0" encoding="utf-8"?>
<sst xmlns="http://schemas.openxmlformats.org/spreadsheetml/2006/main" count="47" uniqueCount="36">
  <si>
    <t>일자</t>
    <phoneticPr fontId="3" type="noConversion"/>
  </si>
  <si>
    <t>구분</t>
    <phoneticPr fontId="3" type="noConversion"/>
  </si>
  <si>
    <t>수입</t>
    <phoneticPr fontId="3" type="noConversion"/>
  </si>
  <si>
    <t>월급</t>
  </si>
  <si>
    <t>지출</t>
    <phoneticPr fontId="3" type="noConversion"/>
  </si>
  <si>
    <t>식비</t>
  </si>
  <si>
    <t>외식</t>
  </si>
  <si>
    <t>쇼핑</t>
  </si>
  <si>
    <t>식재료</t>
  </si>
  <si>
    <t>교통비</t>
  </si>
  <si>
    <t>주유비</t>
  </si>
  <si>
    <t>경조사</t>
  </si>
  <si>
    <t>조의금</t>
  </si>
  <si>
    <t>의료비</t>
  </si>
  <si>
    <t>병원비</t>
  </si>
  <si>
    <t>기타1</t>
  </si>
  <si>
    <t>지출구분</t>
    <phoneticPr fontId="3" type="noConversion"/>
  </si>
  <si>
    <t>수입구분</t>
    <phoneticPr fontId="3" type="noConversion"/>
  </si>
  <si>
    <t>현금</t>
  </si>
  <si>
    <t>항목1</t>
    <phoneticPr fontId="3" type="noConversion"/>
  </si>
  <si>
    <t>항목2</t>
    <phoneticPr fontId="3" type="noConversion"/>
  </si>
  <si>
    <t>내역</t>
    <phoneticPr fontId="3" type="noConversion"/>
  </si>
  <si>
    <t>비고</t>
    <phoneticPr fontId="3" type="noConversion"/>
  </si>
  <si>
    <t>금액</t>
    <phoneticPr fontId="3" type="noConversion"/>
  </si>
  <si>
    <t>수입</t>
    <phoneticPr fontId="3" type="noConversion"/>
  </si>
  <si>
    <t>12월 급여</t>
    <phoneticPr fontId="3" type="noConversion"/>
  </si>
  <si>
    <t>점심</t>
    <phoneticPr fontId="3" type="noConversion"/>
  </si>
  <si>
    <t>마트</t>
    <phoneticPr fontId="3" type="noConversion"/>
  </si>
  <si>
    <t>수입합계</t>
    <phoneticPr fontId="3" type="noConversion"/>
  </si>
  <si>
    <t>지출합계</t>
    <phoneticPr fontId="3" type="noConversion"/>
  </si>
  <si>
    <t>잔액</t>
    <phoneticPr fontId="3" type="noConversion"/>
  </si>
  <si>
    <t>지인1</t>
    <phoneticPr fontId="3" type="noConversion"/>
  </si>
  <si>
    <t>스포츠토토</t>
    <phoneticPr fontId="3" type="noConversion"/>
  </si>
  <si>
    <t>농협신용카드</t>
  </si>
  <si>
    <t>농협신용카드</t>
    <phoneticPr fontId="3" type="noConversion"/>
  </si>
  <si>
    <t>금전 출납부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</si>
</sst>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I15"/>
  <sheetViews>
    <sheetView showGridLines="0" tabSelected="1" workbookViewId="0">
      <pane ySplit="5" topLeftCell="A9" activePane="bottomLeft" state="frozen"/>
      <selection pane="bottomLeft" sqref="A1:I1"/>
    </sheetView>
  </sheetViews>
  <sheetFormatPr defaultRowHeight="18" customHeight="1" x14ac:dyDescent="0.3"/>
  <cols>
    <col min="1" max="5" width="12.875" style="1" customWidth="1"/>
    <col min="6" max="6" width="12.875" style="7" customWidth="1"/>
    <col min="7" max="7" width="12.875" style="1" customWidth="1"/>
    <col min="8" max="8" width="12.875" style="7" customWidth="1"/>
    <col min="9" max="9" width="12.875" style="1" customWidth="1"/>
    <col min="10" max="16384" width="9" style="1"/>
  </cols>
  <sheetData>
    <row r="1" spans="1:9" ht="35.25" customHeight="1" x14ac:dyDescent="0.3">
      <c r="A1" s="10" t="s">
        <v>35</v>
      </c>
      <c r="B1" s="10"/>
      <c r="C1" s="10"/>
      <c r="D1" s="10"/>
      <c r="E1" s="10"/>
      <c r="F1" s="10"/>
      <c r="G1" s="10"/>
      <c r="H1" s="10"/>
      <c r="I1" s="10"/>
    </row>
    <row r="2" spans="1:9" ht="18" customHeight="1" x14ac:dyDescent="0.3">
      <c r="A2" s="8"/>
      <c r="B2" s="8"/>
      <c r="C2" s="8"/>
      <c r="D2" s="8"/>
      <c r="E2" s="8"/>
      <c r="F2" s="8"/>
      <c r="G2" s="2" t="s">
        <v>28</v>
      </c>
      <c r="H2" s="2" t="s">
        <v>29</v>
      </c>
      <c r="I2" s="2" t="s">
        <v>30</v>
      </c>
    </row>
    <row r="3" spans="1:9" ht="18" customHeight="1" x14ac:dyDescent="0.3">
      <c r="A3" s="8"/>
      <c r="B3" s="8"/>
      <c r="C3" s="8"/>
      <c r="D3" s="8"/>
      <c r="E3" s="8"/>
      <c r="F3" s="8"/>
      <c r="G3" s="9">
        <f>SUM(H6:H9955)</f>
        <v>3500000</v>
      </c>
      <c r="H3" s="9">
        <f>SUM(F6:F9955)</f>
        <v>310000</v>
      </c>
      <c r="I3" s="9">
        <f>G3-H3</f>
        <v>3190000</v>
      </c>
    </row>
    <row r="4" spans="1:9" ht="18" customHeight="1" x14ac:dyDescent="0.3">
      <c r="A4" s="11" t="s">
        <v>0</v>
      </c>
      <c r="B4" s="11" t="s">
        <v>1</v>
      </c>
      <c r="C4" s="11"/>
      <c r="D4" s="11"/>
      <c r="E4" s="11" t="s">
        <v>4</v>
      </c>
      <c r="F4" s="11"/>
      <c r="G4" s="11" t="s">
        <v>2</v>
      </c>
      <c r="H4" s="11"/>
      <c r="I4" s="11" t="s">
        <v>22</v>
      </c>
    </row>
    <row r="5" spans="1:9" ht="18" customHeight="1" x14ac:dyDescent="0.3">
      <c r="A5" s="11"/>
      <c r="B5" s="2" t="s">
        <v>19</v>
      </c>
      <c r="C5" s="2" t="s">
        <v>20</v>
      </c>
      <c r="D5" s="2" t="s">
        <v>21</v>
      </c>
      <c r="E5" s="2" t="s">
        <v>16</v>
      </c>
      <c r="F5" s="6" t="s">
        <v>23</v>
      </c>
      <c r="G5" s="2" t="s">
        <v>17</v>
      </c>
      <c r="H5" s="6" t="s">
        <v>23</v>
      </c>
      <c r="I5" s="11"/>
    </row>
    <row r="6" spans="1:9" ht="18" customHeight="1" x14ac:dyDescent="0.3">
      <c r="A6" s="3">
        <v>44197</v>
      </c>
      <c r="B6" s="4" t="s">
        <v>24</v>
      </c>
      <c r="C6" s="4" t="s">
        <v>3</v>
      </c>
      <c r="D6" s="4" t="s">
        <v>25</v>
      </c>
      <c r="E6" s="4"/>
      <c r="F6" s="5"/>
      <c r="G6" s="4" t="s">
        <v>18</v>
      </c>
      <c r="H6" s="5">
        <v>3500000</v>
      </c>
      <c r="I6" s="4"/>
    </row>
    <row r="7" spans="1:9" ht="18" customHeight="1" x14ac:dyDescent="0.3">
      <c r="A7" s="3">
        <v>44197</v>
      </c>
      <c r="B7" s="4" t="s">
        <v>5</v>
      </c>
      <c r="C7" s="4" t="s">
        <v>5</v>
      </c>
      <c r="D7" s="4" t="s">
        <v>26</v>
      </c>
      <c r="E7" s="4" t="s">
        <v>34</v>
      </c>
      <c r="F7" s="5">
        <v>8000</v>
      </c>
      <c r="G7" s="4"/>
      <c r="H7" s="5"/>
      <c r="I7" s="4"/>
    </row>
    <row r="8" spans="1:9" ht="18" customHeight="1" x14ac:dyDescent="0.3">
      <c r="A8" s="3">
        <v>44197</v>
      </c>
      <c r="B8" s="4" t="s">
        <v>7</v>
      </c>
      <c r="C8" s="4" t="s">
        <v>8</v>
      </c>
      <c r="D8" s="4" t="s">
        <v>27</v>
      </c>
      <c r="E8" s="4" t="s">
        <v>33</v>
      </c>
      <c r="F8" s="5">
        <v>35000</v>
      </c>
      <c r="G8" s="4"/>
      <c r="H8" s="5"/>
      <c r="I8" s="4"/>
    </row>
    <row r="9" spans="1:9" ht="18" customHeight="1" x14ac:dyDescent="0.3">
      <c r="A9" s="3">
        <v>44198</v>
      </c>
      <c r="B9" s="4" t="s">
        <v>11</v>
      </c>
      <c r="C9" s="4" t="s">
        <v>12</v>
      </c>
      <c r="D9" s="4" t="s">
        <v>31</v>
      </c>
      <c r="E9" s="4" t="s">
        <v>18</v>
      </c>
      <c r="F9" s="5">
        <v>100000</v>
      </c>
      <c r="G9" s="4"/>
      <c r="H9" s="5"/>
      <c r="I9" s="4"/>
    </row>
    <row r="10" spans="1:9" ht="18" customHeight="1" x14ac:dyDescent="0.3">
      <c r="A10" s="3">
        <v>44198</v>
      </c>
      <c r="B10" s="4" t="s">
        <v>15</v>
      </c>
      <c r="C10" s="4"/>
      <c r="D10" s="4" t="s">
        <v>32</v>
      </c>
      <c r="E10" s="4" t="s">
        <v>18</v>
      </c>
      <c r="F10" s="5">
        <v>30000</v>
      </c>
      <c r="G10" s="4"/>
      <c r="H10" s="5"/>
      <c r="I10" s="4"/>
    </row>
    <row r="11" spans="1:9" ht="18" customHeight="1" x14ac:dyDescent="0.3">
      <c r="A11" s="3">
        <v>44198</v>
      </c>
      <c r="B11" s="4" t="s">
        <v>9</v>
      </c>
      <c r="C11" s="4" t="s">
        <v>10</v>
      </c>
      <c r="D11" s="4"/>
      <c r="E11" s="4" t="s">
        <v>33</v>
      </c>
      <c r="F11" s="5">
        <v>50000</v>
      </c>
      <c r="G11" s="4"/>
      <c r="H11" s="5"/>
      <c r="I11" s="4"/>
    </row>
    <row r="12" spans="1:9" ht="18" customHeight="1" x14ac:dyDescent="0.3">
      <c r="A12" s="3">
        <v>44198</v>
      </c>
      <c r="B12" s="4" t="s">
        <v>13</v>
      </c>
      <c r="C12" s="4" t="s">
        <v>14</v>
      </c>
      <c r="D12" s="4"/>
      <c r="E12" s="4" t="s">
        <v>33</v>
      </c>
      <c r="F12" s="5">
        <v>30000</v>
      </c>
      <c r="G12" s="4"/>
      <c r="H12" s="5"/>
      <c r="I12" s="4"/>
    </row>
    <row r="13" spans="1:9" ht="18" customHeight="1" x14ac:dyDescent="0.3">
      <c r="A13" s="3">
        <v>44199</v>
      </c>
      <c r="B13" s="4" t="s">
        <v>5</v>
      </c>
      <c r="C13" s="4" t="s">
        <v>6</v>
      </c>
      <c r="D13" s="4"/>
      <c r="E13" s="4" t="s">
        <v>33</v>
      </c>
      <c r="F13" s="5">
        <v>50000</v>
      </c>
      <c r="G13" s="4"/>
      <c r="H13" s="5"/>
      <c r="I13" s="4"/>
    </row>
    <row r="14" spans="1:9" ht="18" customHeight="1" x14ac:dyDescent="0.3">
      <c r="A14" s="3">
        <v>44200</v>
      </c>
      <c r="B14" s="4" t="s">
        <v>5</v>
      </c>
      <c r="C14" s="4" t="s">
        <v>5</v>
      </c>
      <c r="D14" s="4"/>
      <c r="E14" s="4" t="s">
        <v>33</v>
      </c>
      <c r="F14" s="5">
        <v>7000</v>
      </c>
      <c r="G14" s="4"/>
      <c r="H14" s="5"/>
      <c r="I14" s="4"/>
    </row>
    <row r="15" spans="1:9" ht="18" customHeight="1" x14ac:dyDescent="0.3">
      <c r="A15" s="3"/>
      <c r="B15" s="4"/>
      <c r="C15" s="4"/>
      <c r="D15" s="4"/>
      <c r="E15" s="4"/>
      <c r="F15" s="5"/>
      <c r="G15" s="4"/>
      <c r="H15" s="5"/>
      <c r="I15" s="4"/>
    </row>
  </sheetData>
  <mergeCells count="6">
    <mergeCell ref="A1:I1"/>
    <mergeCell ref="A4:A5"/>
    <mergeCell ref="B4:D4"/>
    <mergeCell ref="E4:F4"/>
    <mergeCell ref="G4:H4"/>
    <mergeCell ref="I4:I5"/>
  </mergeCells>
  <phoneticPr fontId="3" type="noConversion"/>
  <dataValidations count="4">
    <dataValidation type="list" allowBlank="1" showInputMessage="1" showErrorMessage="1" sqref="E6:E14" xr:uid="{00000000-0002-0000-0000-000002000000}">
      <formula1>지출구분</formula1>
    </dataValidation>
    <dataValidation type="list" allowBlank="1" showInputMessage="1" showErrorMessage="1" sqref="G6 G15" xr:uid="{00000000-0002-0000-0000-000003000000}">
      <formula1>수입구분</formula1>
    </dataValidation>
    <dataValidation type="list" allowBlank="1" showInputMessage="1" showErrorMessage="1" sqref="B6:B15" xr:uid="{00000000-0002-0000-0000-000001000000}">
      <formula1>#REF!</formula1>
    </dataValidation>
    <dataValidation type="list" allowBlank="1" showInputMessage="1" showErrorMessage="1" sqref="C6:C15" xr:uid="{00000000-0002-0000-0000-000000000000}">
      <formula1>INDIRECT(B6)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가계부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jsj</cp:lastModifiedBy>
  <dcterms:created xsi:type="dcterms:W3CDTF">2021-01-13T07:52:17Z</dcterms:created>
  <dcterms:modified xsi:type="dcterms:W3CDTF">2023-05-25T21:05:04Z</dcterms:modified>
</cp:coreProperties>
</file>